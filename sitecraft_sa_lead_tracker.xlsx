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ummary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6A34A"/>
      <sz val="14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3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4" customWidth="1" min="4" max="4"/>
    <col width="22" customWidth="1" min="5" max="5"/>
    <col width="11" customWidth="1" min="6" max="6"/>
    <col width="13" customWidth="1" min="7" max="7"/>
    <col width="10" customWidth="1" min="8" max="8"/>
    <col width="20" customWidth="1" min="9" max="9"/>
    <col width="11" customWidth="1" min="10" max="10"/>
    <col width="13" customWidth="1" min="11" max="11"/>
    <col width="13" customWidth="1" min="12" max="12"/>
  </cols>
  <sheetData>
    <row r="1" ht="30" customHeight="1">
      <c r="A1" s="1" t="inlineStr">
        <is>
          <t>Date</t>
        </is>
      </c>
      <c r="B1" s="1" t="inlineStr">
        <is>
          <t>Business</t>
        </is>
      </c>
      <c r="C1" s="1" t="inlineStr">
        <is>
          <t>Trade</t>
        </is>
      </c>
      <c r="D1" s="1" t="inlineStr">
        <is>
          <t>Town</t>
        </is>
      </c>
      <c r="E1" s="1" t="inlineStr">
        <is>
          <t>Contact (WA/phone)</t>
        </is>
      </c>
      <c r="F1" s="1" t="inlineStr">
        <is>
          <t>Red flags (count)</t>
        </is>
      </c>
      <c r="G1" s="1" t="inlineStr">
        <is>
          <t>Outreach sent?</t>
        </is>
      </c>
      <c r="H1" s="1" t="inlineStr">
        <is>
          <t>Replied?</t>
        </is>
      </c>
      <c r="I1" s="1" t="inlineStr">
        <is>
          <t>Meeting/Follow-up</t>
        </is>
      </c>
      <c r="J1" s="1" t="inlineStr">
        <is>
          <t>Closed?</t>
        </is>
      </c>
      <c r="K1" s="1" t="inlineStr">
        <is>
          <t>Setup value (R)</t>
        </is>
      </c>
      <c r="L1" s="1" t="inlineStr">
        <is>
          <t>Monthly value (R)</t>
        </is>
      </c>
    </row>
    <row r="2">
      <c r="A2" s="2" t="n"/>
      <c r="B2" s="2" t="inlineStr">
        <is>
          <t>Sunshine Plumbing</t>
        </is>
      </c>
      <c r="C2" s="2" t="inlineStr">
        <is>
          <t>plumber</t>
        </is>
      </c>
      <c r="D2" s="2" t="inlineStr">
        <is>
          <t>Polokwane</t>
        </is>
      </c>
      <c r="E2" s="2" t="inlineStr">
        <is>
          <t>+27 82 111 2222</t>
        </is>
      </c>
      <c r="F2" s="3" t="n">
        <v>4</v>
      </c>
      <c r="G2" s="3" t="inlineStr">
        <is>
          <t>Yes</t>
        </is>
      </c>
      <c r="H2" s="3" t="inlineStr">
        <is>
          <t>Yes</t>
        </is>
      </c>
      <c r="I2" s="2" t="inlineStr">
        <is>
          <t>2026-08-20</t>
        </is>
      </c>
      <c r="J2" s="3" t="inlineStr">
        <is>
          <t>No</t>
        </is>
      </c>
      <c r="K2" s="3" t="inlineStr"/>
      <c r="L2" s="3" t="inlineStr"/>
    </row>
    <row r="3">
      <c r="A3" s="4" t="n"/>
      <c r="B3" s="4" t="inlineStr">
        <is>
          <t>Limpopo Nail Studio</t>
        </is>
      </c>
      <c r="C3" s="4" t="inlineStr">
        <is>
          <t>nail tech</t>
        </is>
      </c>
      <c r="D3" s="4" t="inlineStr">
        <is>
          <t>Polokwane</t>
        </is>
      </c>
      <c r="E3" s="4" t="inlineStr">
        <is>
          <t>+27 83 333 4444</t>
        </is>
      </c>
      <c r="F3" s="5" t="n">
        <v>3</v>
      </c>
      <c r="G3" s="5" t="inlineStr">
        <is>
          <t>Yes</t>
        </is>
      </c>
      <c r="H3" s="5" t="inlineStr">
        <is>
          <t>No</t>
        </is>
      </c>
      <c r="I3" s="4" t="inlineStr"/>
      <c r="J3" s="5" t="inlineStr"/>
      <c r="K3" s="5" t="inlineStr"/>
      <c r="L3" s="5" t="inlineStr"/>
    </row>
    <row r="4">
      <c r="A4" s="2" t="n"/>
      <c r="B4" s="2" t="inlineStr">
        <is>
          <t>Highveld Car Wash</t>
        </is>
      </c>
      <c r="C4" s="2" t="inlineStr">
        <is>
          <t>car wash</t>
        </is>
      </c>
      <c r="D4" s="2" t="inlineStr">
        <is>
          <t>Bloemfontein</t>
        </is>
      </c>
      <c r="E4" s="2" t="inlineStr">
        <is>
          <t>+27 84 555 6666</t>
        </is>
      </c>
      <c r="F4" s="3" t="n">
        <v>3</v>
      </c>
      <c r="G4" s="3" t="inlineStr">
        <is>
          <t>Yes</t>
        </is>
      </c>
      <c r="H4" s="3" t="inlineStr">
        <is>
          <t>Yes</t>
        </is>
      </c>
      <c r="I4" s="2" t="inlineStr"/>
      <c r="J4" s="3" t="inlineStr">
        <is>
          <t>Follow-up</t>
        </is>
      </c>
      <c r="K4" s="3" t="inlineStr"/>
      <c r="L4" s="3" t="inlineStr"/>
    </row>
    <row r="5">
      <c r="A5" s="4" t="n"/>
      <c r="B5" s="4" t="inlineStr">
        <is>
          <t>George Coffee Co</t>
        </is>
      </c>
      <c r="C5" s="4" t="inlineStr">
        <is>
          <t>coffee shop</t>
        </is>
      </c>
      <c r="D5" s="4" t="inlineStr">
        <is>
          <t>George</t>
        </is>
      </c>
      <c r="E5" s="4" t="inlineStr">
        <is>
          <t>+27 85 777 8888</t>
        </is>
      </c>
      <c r="F5" s="5" t="n">
        <v>3</v>
      </c>
      <c r="G5" s="5" t="inlineStr">
        <is>
          <t>Yes</t>
        </is>
      </c>
      <c r="H5" s="5" t="inlineStr">
        <is>
          <t>No</t>
        </is>
      </c>
      <c r="I5" s="4" t="inlineStr"/>
      <c r="J5" s="5" t="inlineStr"/>
      <c r="K5" s="5" t="inlineStr"/>
      <c r="L5" s="5" t="inlineStr"/>
    </row>
    <row r="6">
      <c r="A6" s="2" t="n"/>
      <c r="B6" s="2" t="inlineStr">
        <is>
          <t>Kimberley Painters</t>
        </is>
      </c>
      <c r="C6" s="2" t="inlineStr">
        <is>
          <t>painter</t>
        </is>
      </c>
      <c r="D6" s="2" t="inlineStr">
        <is>
          <t>Kimberley</t>
        </is>
      </c>
      <c r="E6" s="2" t="inlineStr">
        <is>
          <t>+27 86 999 0000</t>
        </is>
      </c>
      <c r="F6" s="3" t="n">
        <v>5</v>
      </c>
      <c r="G6" s="3" t="inlineStr">
        <is>
          <t>Yes</t>
        </is>
      </c>
      <c r="H6" s="3" t="inlineStr">
        <is>
          <t>Yes</t>
        </is>
      </c>
      <c r="I6" s="2" t="inlineStr">
        <is>
          <t>2026-08-19</t>
        </is>
      </c>
      <c r="J6" s="3" t="inlineStr">
        <is>
          <t>Yes</t>
        </is>
      </c>
      <c r="K6" s="3" t="inlineStr">
        <is>
          <t>1500</t>
        </is>
      </c>
      <c r="L6" s="3" t="inlineStr">
        <is>
          <t>450</t>
        </is>
      </c>
    </row>
    <row r="7">
      <c r="A7" s="4" t="n"/>
      <c r="B7" s="4" t="n"/>
      <c r="C7" s="4" t="n"/>
      <c r="D7" s="4" t="n"/>
      <c r="E7" s="4" t="n"/>
      <c r="F7" s="5" t="n"/>
      <c r="G7" s="5" t="n"/>
      <c r="H7" s="5" t="n"/>
      <c r="I7" s="4" t="n"/>
      <c r="J7" s="5" t="n"/>
      <c r="K7" s="5" t="n"/>
      <c r="L7" s="5" t="n"/>
    </row>
    <row r="8">
      <c r="A8" s="2" t="n"/>
      <c r="B8" s="2" t="n"/>
      <c r="C8" s="2" t="n"/>
      <c r="D8" s="2" t="n"/>
      <c r="E8" s="2" t="n"/>
      <c r="F8" s="3" t="n"/>
      <c r="G8" s="3" t="n"/>
      <c r="H8" s="3" t="n"/>
      <c r="I8" s="2" t="n"/>
      <c r="J8" s="3" t="n"/>
      <c r="K8" s="3" t="n"/>
      <c r="L8" s="3" t="n"/>
    </row>
    <row r="9">
      <c r="A9" s="4" t="n"/>
      <c r="B9" s="4" t="n"/>
      <c r="C9" s="4" t="n"/>
      <c r="D9" s="4" t="n"/>
      <c r="E9" s="4" t="n"/>
      <c r="F9" s="5" t="n"/>
      <c r="G9" s="5" t="n"/>
      <c r="H9" s="5" t="n"/>
      <c r="I9" s="4" t="n"/>
      <c r="J9" s="5" t="n"/>
      <c r="K9" s="5" t="n"/>
      <c r="L9" s="5" t="n"/>
    </row>
    <row r="10">
      <c r="A10" s="2" t="n"/>
      <c r="B10" s="2" t="n"/>
      <c r="C10" s="2" t="n"/>
      <c r="D10" s="2" t="n"/>
      <c r="E10" s="2" t="n"/>
      <c r="F10" s="3" t="n"/>
      <c r="G10" s="3" t="n"/>
      <c r="H10" s="3" t="n"/>
      <c r="I10" s="2" t="n"/>
      <c r="J10" s="3" t="n"/>
      <c r="K10" s="3" t="n"/>
      <c r="L10" s="3" t="n"/>
    </row>
    <row r="11">
      <c r="A11" s="4" t="n"/>
      <c r="B11" s="4" t="n"/>
      <c r="C11" s="4" t="n"/>
      <c r="D11" s="4" t="n"/>
      <c r="E11" s="4" t="n"/>
      <c r="F11" s="5" t="n"/>
      <c r="G11" s="5" t="n"/>
      <c r="H11" s="5" t="n"/>
      <c r="I11" s="4" t="n"/>
      <c r="J11" s="5" t="n"/>
      <c r="K11" s="5" t="n"/>
      <c r="L11" s="5" t="n"/>
    </row>
    <row r="12">
      <c r="A12" s="2" t="n"/>
      <c r="B12" s="2" t="n"/>
      <c r="C12" s="2" t="n"/>
      <c r="D12" s="2" t="n"/>
      <c r="E12" s="2" t="n"/>
      <c r="F12" s="3" t="n"/>
      <c r="G12" s="3" t="n"/>
      <c r="H12" s="3" t="n"/>
      <c r="I12" s="2" t="n"/>
      <c r="J12" s="3" t="n"/>
      <c r="K12" s="3" t="n"/>
      <c r="L12" s="3" t="n"/>
    </row>
    <row r="13">
      <c r="A13" s="4" t="n"/>
      <c r="B13" s="4" t="n"/>
      <c r="C13" s="4" t="n"/>
      <c r="D13" s="4" t="n"/>
      <c r="E13" s="4" t="n"/>
      <c r="F13" s="5" t="n"/>
      <c r="G13" s="5" t="n"/>
      <c r="H13" s="5" t="n"/>
      <c r="I13" s="4" t="n"/>
      <c r="J13" s="5" t="n"/>
      <c r="K13" s="5" t="n"/>
      <c r="L13" s="5" t="n"/>
    </row>
    <row r="14">
      <c r="A14" s="2" t="n"/>
      <c r="B14" s="2" t="n"/>
      <c r="C14" s="2" t="n"/>
      <c r="D14" s="2" t="n"/>
      <c r="E14" s="2" t="n"/>
      <c r="F14" s="3" t="n"/>
      <c r="G14" s="3" t="n"/>
      <c r="H14" s="3" t="n"/>
      <c r="I14" s="2" t="n"/>
      <c r="J14" s="3" t="n"/>
      <c r="K14" s="3" t="n"/>
      <c r="L14" s="3" t="n"/>
    </row>
    <row r="15">
      <c r="A15" s="4" t="n"/>
      <c r="B15" s="4" t="n"/>
      <c r="C15" s="4" t="n"/>
      <c r="D15" s="4" t="n"/>
      <c r="E15" s="4" t="n"/>
      <c r="F15" s="5" t="n"/>
      <c r="G15" s="5" t="n"/>
      <c r="H15" s="5" t="n"/>
      <c r="I15" s="4" t="n"/>
      <c r="J15" s="5" t="n"/>
      <c r="K15" s="5" t="n"/>
      <c r="L15" s="5" t="n"/>
    </row>
    <row r="16">
      <c r="A16" s="2" t="n"/>
      <c r="B16" s="2" t="n"/>
      <c r="C16" s="2" t="n"/>
      <c r="D16" s="2" t="n"/>
      <c r="E16" s="2" t="n"/>
      <c r="F16" s="3" t="n"/>
      <c r="G16" s="3" t="n"/>
      <c r="H16" s="3" t="n"/>
      <c r="I16" s="2" t="n"/>
      <c r="J16" s="3" t="n"/>
      <c r="K16" s="3" t="n"/>
      <c r="L16" s="3" t="n"/>
    </row>
    <row r="17">
      <c r="A17" s="4" t="n"/>
      <c r="B17" s="4" t="n"/>
      <c r="C17" s="4" t="n"/>
      <c r="D17" s="4" t="n"/>
      <c r="E17" s="4" t="n"/>
      <c r="F17" s="5" t="n"/>
      <c r="G17" s="5" t="n"/>
      <c r="H17" s="5" t="n"/>
      <c r="I17" s="4" t="n"/>
      <c r="J17" s="5" t="n"/>
      <c r="K17" s="5" t="n"/>
      <c r="L17" s="5" t="n"/>
    </row>
    <row r="18">
      <c r="A18" s="2" t="n"/>
      <c r="B18" s="2" t="n"/>
      <c r="C18" s="2" t="n"/>
      <c r="D18" s="2" t="n"/>
      <c r="E18" s="2" t="n"/>
      <c r="F18" s="3" t="n"/>
      <c r="G18" s="3" t="n"/>
      <c r="H18" s="3" t="n"/>
      <c r="I18" s="2" t="n"/>
      <c r="J18" s="3" t="n"/>
      <c r="K18" s="3" t="n"/>
      <c r="L18" s="3" t="n"/>
    </row>
    <row r="19">
      <c r="A19" s="4" t="n"/>
      <c r="B19" s="4" t="n"/>
      <c r="C19" s="4" t="n"/>
      <c r="D19" s="4" t="n"/>
      <c r="E19" s="4" t="n"/>
      <c r="F19" s="5" t="n"/>
      <c r="G19" s="5" t="n"/>
      <c r="H19" s="5" t="n"/>
      <c r="I19" s="4" t="n"/>
      <c r="J19" s="5" t="n"/>
      <c r="K19" s="5" t="n"/>
      <c r="L19" s="5" t="n"/>
    </row>
    <row r="20">
      <c r="A20" s="2" t="n"/>
      <c r="B20" s="2" t="n"/>
      <c r="C20" s="2" t="n"/>
      <c r="D20" s="2" t="n"/>
      <c r="E20" s="2" t="n"/>
      <c r="F20" s="3" t="n"/>
      <c r="G20" s="3" t="n"/>
      <c r="H20" s="3" t="n"/>
      <c r="I20" s="2" t="n"/>
      <c r="J20" s="3" t="n"/>
      <c r="K20" s="3" t="n"/>
      <c r="L20" s="3" t="n"/>
    </row>
    <row r="21">
      <c r="A21" s="4" t="n"/>
      <c r="B21" s="4" t="n"/>
      <c r="C21" s="4" t="n"/>
      <c r="D21" s="4" t="n"/>
      <c r="E21" s="4" t="n"/>
      <c r="F21" s="5" t="n"/>
      <c r="G21" s="5" t="n"/>
      <c r="H21" s="5" t="n"/>
      <c r="I21" s="4" t="n"/>
      <c r="J21" s="5" t="n"/>
      <c r="K21" s="5" t="n"/>
      <c r="L21" s="5" t="n"/>
    </row>
    <row r="22">
      <c r="A22" s="2" t="n"/>
      <c r="B22" s="2" t="n"/>
      <c r="C22" s="2" t="n"/>
      <c r="D22" s="2" t="n"/>
      <c r="E22" s="2" t="n"/>
      <c r="F22" s="3" t="n"/>
      <c r="G22" s="3" t="n"/>
      <c r="H22" s="3" t="n"/>
      <c r="I22" s="2" t="n"/>
      <c r="J22" s="3" t="n"/>
      <c r="K22" s="3" t="n"/>
      <c r="L22" s="3" t="n"/>
    </row>
    <row r="23">
      <c r="A23" s="4" t="n"/>
      <c r="B23" s="4" t="n"/>
      <c r="C23" s="4" t="n"/>
      <c r="D23" s="4" t="n"/>
      <c r="E23" s="4" t="n"/>
      <c r="F23" s="5" t="n"/>
      <c r="G23" s="5" t="n"/>
      <c r="H23" s="5" t="n"/>
      <c r="I23" s="4" t="n"/>
      <c r="J23" s="5" t="n"/>
      <c r="K23" s="5" t="n"/>
      <c r="L23" s="5" t="n"/>
    </row>
    <row r="24">
      <c r="A24" s="2" t="n"/>
      <c r="B24" s="2" t="n"/>
      <c r="C24" s="2" t="n"/>
      <c r="D24" s="2" t="n"/>
      <c r="E24" s="2" t="n"/>
      <c r="F24" s="3" t="n"/>
      <c r="G24" s="3" t="n"/>
      <c r="H24" s="3" t="n"/>
      <c r="I24" s="2" t="n"/>
      <c r="J24" s="3" t="n"/>
      <c r="K24" s="3" t="n"/>
      <c r="L24" s="3" t="n"/>
    </row>
    <row r="25">
      <c r="A25" s="4" t="n"/>
      <c r="B25" s="4" t="n"/>
      <c r="C25" s="4" t="n"/>
      <c r="D25" s="4" t="n"/>
      <c r="E25" s="4" t="n"/>
      <c r="F25" s="5" t="n"/>
      <c r="G25" s="5" t="n"/>
      <c r="H25" s="5" t="n"/>
      <c r="I25" s="4" t="n"/>
      <c r="J25" s="5" t="n"/>
      <c r="K25" s="5" t="n"/>
      <c r="L25" s="5" t="n"/>
    </row>
    <row r="26">
      <c r="A26" s="2" t="n"/>
      <c r="B26" s="2" t="n"/>
      <c r="C26" s="2" t="n"/>
      <c r="D26" s="2" t="n"/>
      <c r="E26" s="2" t="n"/>
      <c r="F26" s="3" t="n"/>
      <c r="G26" s="3" t="n"/>
      <c r="H26" s="3" t="n"/>
      <c r="I26" s="2" t="n"/>
      <c r="J26" s="3" t="n"/>
      <c r="K26" s="3" t="n"/>
      <c r="L26" s="3" t="n"/>
    </row>
    <row r="27">
      <c r="A27" s="4" t="n"/>
      <c r="B27" s="4" t="n"/>
      <c r="C27" s="4" t="n"/>
      <c r="D27" s="4" t="n"/>
      <c r="E27" s="4" t="n"/>
      <c r="F27" s="5" t="n"/>
      <c r="G27" s="5" t="n"/>
      <c r="H27" s="5" t="n"/>
      <c r="I27" s="4" t="n"/>
      <c r="J27" s="5" t="n"/>
      <c r="K27" s="5" t="n"/>
      <c r="L27" s="5" t="n"/>
    </row>
    <row r="28">
      <c r="A28" s="2" t="n"/>
      <c r="B28" s="2" t="n"/>
      <c r="C28" s="2" t="n"/>
      <c r="D28" s="2" t="n"/>
      <c r="E28" s="2" t="n"/>
      <c r="F28" s="3" t="n"/>
      <c r="G28" s="3" t="n"/>
      <c r="H28" s="3" t="n"/>
      <c r="I28" s="2" t="n"/>
      <c r="J28" s="3" t="n"/>
      <c r="K28" s="3" t="n"/>
      <c r="L28" s="3" t="n"/>
    </row>
    <row r="29">
      <c r="A29" s="4" t="n"/>
      <c r="B29" s="4" t="n"/>
      <c r="C29" s="4" t="n"/>
      <c r="D29" s="4" t="n"/>
      <c r="E29" s="4" t="n"/>
      <c r="F29" s="5" t="n"/>
      <c r="G29" s="5" t="n"/>
      <c r="H29" s="5" t="n"/>
      <c r="I29" s="4" t="n"/>
      <c r="J29" s="5" t="n"/>
      <c r="K29" s="5" t="n"/>
      <c r="L29" s="5" t="n"/>
    </row>
    <row r="30">
      <c r="A30" s="2" t="n"/>
      <c r="B30" s="2" t="n"/>
      <c r="C30" s="2" t="n"/>
      <c r="D30" s="2" t="n"/>
      <c r="E30" s="2" t="n"/>
      <c r="F30" s="3" t="n"/>
      <c r="G30" s="3" t="n"/>
      <c r="H30" s="3" t="n"/>
      <c r="I30" s="2" t="n"/>
      <c r="J30" s="3" t="n"/>
      <c r="K30" s="3" t="n"/>
      <c r="L30" s="3" t="n"/>
    </row>
    <row r="31">
      <c r="A31" s="4" t="n"/>
      <c r="B31" s="4" t="n"/>
      <c r="C31" s="4" t="n"/>
      <c r="D31" s="4" t="n"/>
      <c r="E31" s="4" t="n"/>
      <c r="F31" s="5" t="n"/>
      <c r="G31" s="5" t="n"/>
      <c r="H31" s="5" t="n"/>
      <c r="I31" s="4" t="n"/>
      <c r="J31" s="5" t="n"/>
      <c r="K31" s="5" t="n"/>
      <c r="L31" s="5" t="n"/>
    </row>
    <row r="32">
      <c r="A32" s="2" t="n"/>
      <c r="B32" s="2" t="n"/>
      <c r="C32" s="2" t="n"/>
      <c r="D32" s="2" t="n"/>
      <c r="E32" s="2" t="n"/>
      <c r="F32" s="3" t="n"/>
      <c r="G32" s="3" t="n"/>
      <c r="H32" s="3" t="n"/>
      <c r="I32" s="2" t="n"/>
      <c r="J32" s="3" t="n"/>
      <c r="K32" s="3" t="n"/>
      <c r="L32" s="3" t="n"/>
    </row>
    <row r="33">
      <c r="A33" s="4" t="n"/>
      <c r="B33" s="4" t="n"/>
      <c r="C33" s="4" t="n"/>
      <c r="D33" s="4" t="n"/>
      <c r="E33" s="4" t="n"/>
      <c r="F33" s="5" t="n"/>
      <c r="G33" s="5" t="n"/>
      <c r="H33" s="5" t="n"/>
      <c r="I33" s="4" t="n"/>
      <c r="J33" s="5" t="n"/>
      <c r="K33" s="5" t="n"/>
      <c r="L33" s="5" t="n"/>
    </row>
    <row r="34">
      <c r="A34" s="2" t="n"/>
      <c r="B34" s="2" t="n"/>
      <c r="C34" s="2" t="n"/>
      <c r="D34" s="2" t="n"/>
      <c r="E34" s="2" t="n"/>
      <c r="F34" s="3" t="n"/>
      <c r="G34" s="3" t="n"/>
      <c r="H34" s="3" t="n"/>
      <c r="I34" s="2" t="n"/>
      <c r="J34" s="3" t="n"/>
      <c r="K34" s="3" t="n"/>
      <c r="L34" s="3" t="n"/>
    </row>
    <row r="35">
      <c r="A35" s="4" t="n"/>
      <c r="B35" s="4" t="n"/>
      <c r="C35" s="4" t="n"/>
      <c r="D35" s="4" t="n"/>
      <c r="E35" s="4" t="n"/>
      <c r="F35" s="5" t="n"/>
      <c r="G35" s="5" t="n"/>
      <c r="H35" s="5" t="n"/>
      <c r="I35" s="4" t="n"/>
      <c r="J35" s="5" t="n"/>
      <c r="K35" s="5" t="n"/>
      <c r="L35" s="5" t="n"/>
    </row>
    <row r="36">
      <c r="A36" s="2" t="n"/>
      <c r="B36" s="2" t="n"/>
      <c r="C36" s="2" t="n"/>
      <c r="D36" s="2" t="n"/>
      <c r="E36" s="2" t="n"/>
      <c r="F36" s="3" t="n"/>
      <c r="G36" s="3" t="n"/>
      <c r="H36" s="3" t="n"/>
      <c r="I36" s="2" t="n"/>
      <c r="J36" s="3" t="n"/>
      <c r="K36" s="3" t="n"/>
      <c r="L36" s="3" t="n"/>
    </row>
    <row r="37">
      <c r="A37" s="4" t="n"/>
      <c r="B37" s="4" t="n"/>
      <c r="C37" s="4" t="n"/>
      <c r="D37" s="4" t="n"/>
      <c r="E37" s="4" t="n"/>
      <c r="F37" s="5" t="n"/>
      <c r="G37" s="5" t="n"/>
      <c r="H37" s="5" t="n"/>
      <c r="I37" s="4" t="n"/>
      <c r="J37" s="5" t="n"/>
      <c r="K37" s="5" t="n"/>
      <c r="L37" s="5" t="n"/>
    </row>
    <row r="38">
      <c r="A38" s="2" t="n"/>
      <c r="B38" s="2" t="n"/>
      <c r="C38" s="2" t="n"/>
      <c r="D38" s="2" t="n"/>
      <c r="E38" s="2" t="n"/>
      <c r="F38" s="3" t="n"/>
      <c r="G38" s="3" t="n"/>
      <c r="H38" s="3" t="n"/>
      <c r="I38" s="2" t="n"/>
      <c r="J38" s="3" t="n"/>
      <c r="K38" s="3" t="n"/>
      <c r="L38" s="3" t="n"/>
    </row>
    <row r="39">
      <c r="A39" s="4" t="n"/>
      <c r="B39" s="4" t="n"/>
      <c r="C39" s="4" t="n"/>
      <c r="D39" s="4" t="n"/>
      <c r="E39" s="4" t="n"/>
      <c r="F39" s="5" t="n"/>
      <c r="G39" s="5" t="n"/>
      <c r="H39" s="5" t="n"/>
      <c r="I39" s="4" t="n"/>
      <c r="J39" s="5" t="n"/>
      <c r="K39" s="5" t="n"/>
      <c r="L39" s="5" t="n"/>
    </row>
    <row r="40">
      <c r="A40" s="2" t="n"/>
      <c r="B40" s="2" t="n"/>
      <c r="C40" s="2" t="n"/>
      <c r="D40" s="2" t="n"/>
      <c r="E40" s="2" t="n"/>
      <c r="F40" s="3" t="n"/>
      <c r="G40" s="3" t="n"/>
      <c r="H40" s="3" t="n"/>
      <c r="I40" s="2" t="n"/>
      <c r="J40" s="3" t="n"/>
      <c r="K40" s="3" t="n"/>
      <c r="L40" s="3" t="n"/>
    </row>
    <row r="41">
      <c r="A41" s="4" t="n"/>
      <c r="B41" s="4" t="n"/>
      <c r="C41" s="4" t="n"/>
      <c r="D41" s="4" t="n"/>
      <c r="E41" s="4" t="n"/>
      <c r="F41" s="5" t="n"/>
      <c r="G41" s="5" t="n"/>
      <c r="H41" s="5" t="n"/>
      <c r="I41" s="4" t="n"/>
      <c r="J41" s="5" t="n"/>
      <c r="K41" s="5" t="n"/>
      <c r="L41" s="5" t="n"/>
    </row>
  </sheetData>
  <dataValidations count="3">
    <dataValidation sqref="G2:G41" showDropDown="0" showInputMessage="0" showErrorMessage="0" allowBlank="1" promptTitle="G" prompt="Did you send the WhatsApp/opener?" type="list">
      <formula1>"Yes,No"</formula1>
    </dataValidation>
    <dataValidation sqref="H2:H41" showDropDown="0" showInputMessage="0" showErrorMessage="0" allowBlank="1" promptTitle="H" prompt="Did they reply?" type="list">
      <formula1>"Yes,No"</formula1>
    </dataValidation>
    <dataValidation sqref="J2:J41" showDropDown="0" showInputMessage="0" showErrorMessage="0" allowBlank="1" promptTitle="J" prompt="Yes = closed, Follow-up = pending" type="list">
      <formula1>"Yes,No,Follow-up"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6" t="inlineStr">
        <is>
          <t>SiteCraft SA — Lead Tracker Summary</t>
        </is>
      </c>
    </row>
    <row r="3">
      <c r="A3" s="7" t="inlineStr">
        <is>
          <t>Total leads tracked</t>
        </is>
      </c>
      <c r="B3" s="8">
        <f>COUNTA(Leads!A2:A41)</f>
        <v/>
      </c>
    </row>
    <row r="4">
      <c r="A4" s="7" t="inlineStr">
        <is>
          <t>Outreach sent</t>
        </is>
      </c>
      <c r="B4" s="8">
        <f>COUNTIF(Leads!G2:G41,"Yes")</f>
        <v/>
      </c>
    </row>
    <row r="5">
      <c r="A5" s="7" t="inlineStr">
        <is>
          <t>Replies</t>
        </is>
      </c>
      <c r="B5" s="8">
        <f>COUNTIF(Leads!H2:H41,"Yes")</f>
        <v/>
      </c>
    </row>
    <row r="6">
      <c r="A6" s="7" t="inlineStr">
        <is>
          <t>Closed (won)</t>
        </is>
      </c>
      <c r="B6" s="8">
        <f>COUNTIF(Leads!J2:J41,"Yes")</f>
        <v/>
      </c>
    </row>
    <row r="7">
      <c r="A7" s="7" t="inlineStr">
        <is>
          <t>Pending follow-ups</t>
        </is>
      </c>
      <c r="B7" s="8">
        <f>COUNTIF(Leads!J2:J41,"Follow-up")</f>
        <v/>
      </c>
    </row>
    <row r="8">
      <c r="A8" s="7" t="inlineStr">
        <is>
          <t>Reply rate</t>
        </is>
      </c>
      <c r="B8" s="9">
        <f>IF(B4=0,0,B5/B4)</f>
        <v/>
      </c>
    </row>
    <row r="9">
      <c r="A9" s="7" t="inlineStr">
        <is>
          <t>Close rate (of replies)</t>
        </is>
      </c>
      <c r="B9" s="9">
        <f>IF(B5=0,0,B6/B5)</f>
        <v/>
      </c>
    </row>
    <row r="10">
      <c r="A10" s="7" t="inlineStr">
        <is>
          <t>Total setup revenue (R)</t>
        </is>
      </c>
      <c r="B10" s="8">
        <f>SUMIF(Leads!J2:J41,"Yes",Leads!K2:K41)</f>
        <v/>
      </c>
    </row>
    <row r="11">
      <c r="A11" s="7" t="inlineStr">
        <is>
          <t>Monthly recurring (R/mo)</t>
        </is>
      </c>
      <c r="B11" s="8">
        <f>SUMIF(Leads!J2:J41,"Yes",Leads!L2:L41)</f>
        <v/>
      </c>
    </row>
    <row r="12">
      <c r="A12" s="7" t="inlineStr">
        <is>
          <t>Annual recurring (R/yr)</t>
        </is>
      </c>
      <c r="B12" s="8">
        <f>B10*12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How to use this tracker</t>
        </is>
      </c>
    </row>
    <row r="2">
      <c r="A2" s="10" t="inlineStr">
        <is>
          <t>1. Prospect on Google Maps (maps.google.com): search '&lt;trade&gt; in &lt;town&gt;'.</t>
        </is>
      </c>
    </row>
    <row r="3">
      <c r="A3" s="10" t="inlineStr">
        <is>
          <t>2. For each weak profile, add a row: business, trade, town, contact (WA link or phone).</t>
        </is>
      </c>
    </row>
    <row r="4">
      <c r="A4" s="10" t="inlineStr">
        <is>
          <t>3. Red flags (col F): count how many of these apply — claim status, no site, &lt;20 reviews, &lt;5 photos, missing hours/phone, no posts, weak description, low rank.</t>
        </is>
      </c>
    </row>
    <row r="5">
      <c r="A5" s="10" t="inlineStr">
        <is>
          <t>4. Send the WhatsApp opener, then set 'Outreach sent?' = Yes.</t>
        </is>
      </c>
    </row>
    <row r="6">
      <c r="A6" s="10" t="inlineStr">
        <is>
          <t>5. When they reply, set 'Replied?' = Yes and send the free mini-audit.</t>
        </is>
      </c>
    </row>
    <row r="7">
      <c r="A7" s="10" t="inlineStr">
        <is>
          <t>6. On a win, set 'Closed?' = Yes and fill Setup value (R1,500) + Monthly (R450). Pending = 'Follow-up'.</t>
        </is>
      </c>
    </row>
    <row r="8">
      <c r="A8" s="10" t="inlineStr">
        <is>
          <t>7. The Summary tab auto-calculates reply rate, close rate, and revenue.</t>
        </is>
      </c>
    </row>
    <row r="9">
      <c r="A9" s="10" t="inlineStr">
        <is>
          <t>8. Target: 20-30 prospects/week -&gt; ~3-5 closes -&gt; R4,500-R7,500 setup + R1,350-R2,250/mo.</t>
        </is>
      </c>
    </row>
    <row r="10">
      <c r="A10" s="10" t="inlineStr"/>
    </row>
    <row r="11">
      <c r="A11" s="10" t="inlineStr">
        <is>
          <t>Outreach opener (WhatsApp, Click-to-Chat): https://wa.me/27XXXXXXXXX?text=...</t>
        </is>
      </c>
    </row>
    <row r="12">
      <c r="A12" s="10" t="inlineStr">
        <is>
          <t>Free Skillshop course: search 'Google Business Profile course Skillshop'.</t>
        </is>
      </c>
    </row>
    <row r="13">
      <c r="A13" s="10" t="inlineStr">
        <is>
          <t>Contact: WhatsApp +27 74 508 6001 · lehauthabang@gmail.com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2026-08-18T11:00:39Z</dcterms:created>
  <dcterms:modified xsi:type="dcterms:W3CDTF">2026-08-18T11:10:30Z</dcterms:modified>
</cp:coreProperties>
</file>